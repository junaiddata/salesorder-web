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mc:AlternateContent xmlns:mc="http://schemas.openxmlformats.org/markup-compatibility/2006">
    <mc:Choice Requires="x15">
      <x15ac:absPath xmlns:x15ac="http://schemas.microsoft.com/office/spreadsheetml/2010/11/ac" url="https://alfuttaimgroup-my.sharepoint.com/personal/harisha_kasargod_alfuttaim_com/Documents/Desktop/RAMOOL STORE/5. PR SS26-00150-Civil Material/"/>
    </mc:Choice>
  </mc:AlternateContent>
  <xr:revisionPtr revIDLastSave="16" documentId="8_{FC58C7E4-B9D8-423D-9797-CC404571AB67}" xr6:coauthVersionLast="47" xr6:coauthVersionMax="47" xr10:uidLastSave="{400CEA20-6792-4A11-B879-957F06692D77}"/>
  <bookViews>
    <workbookView xWindow="-120" yWindow="-120" windowWidth="29040" windowHeight="15720" xr2:uid="{00000000-000D-0000-FFFF-FFFF00000000}"/>
  </bookViews>
  <sheets>
    <sheet name="CBD - 24032026" sheetId="1" r:id="rId1"/>
    <sheet name="AHU SPECIFICATION" sheetId="3" state="hidden" r:id="rId2"/>
    <sheet name="Data Validation" sheetId="2" state="hidden" r:id="rId3"/>
  </sheets>
  <definedNames>
    <definedName name="_xlnm.Print_Area" localSheetId="0">'CBD - 24032026'!$A$1:$H$39</definedName>
    <definedName name="_xlnm.Print_Titles" localSheetId="0">'CBD - 24032026'!$1:$8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1" l="1"/>
  <c r="A1" i="1"/>
  <c r="H25" i="1"/>
  <c r="H24" i="1"/>
  <c r="H23" i="1"/>
  <c r="H22" i="1"/>
  <c r="H21" i="1"/>
  <c r="H12" i="1"/>
  <c r="H11" i="1"/>
  <c r="H10" i="1"/>
  <c r="H9" i="1"/>
  <c r="H26"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Barathy Arumugam</author>
  </authors>
  <commentList>
    <comment ref="F27" authorId="0" shapeId="0" xr:uid="{1316BA0A-AB55-4811-B619-359B21347B71}">
      <text>
        <r>
          <rPr>
            <b/>
            <sz val="12"/>
            <color indexed="81"/>
            <rFont val="Tahoma"/>
            <family val="2"/>
          </rPr>
          <t>Select from dropdown menu</t>
        </r>
      </text>
    </comment>
  </commentList>
</comments>
</file>

<file path=xl/sharedStrings.xml><?xml version="1.0" encoding="utf-8"?>
<sst xmlns="http://schemas.openxmlformats.org/spreadsheetml/2006/main" count="193" uniqueCount="163">
  <si>
    <t>S. No</t>
  </si>
  <si>
    <t>Item Description</t>
  </si>
  <si>
    <t>Quantity</t>
  </si>
  <si>
    <t>Unit Price</t>
  </si>
  <si>
    <t>Total Price</t>
  </si>
  <si>
    <t>Terms and Conditions</t>
  </si>
  <si>
    <t>Al Futtaim Engineering's Requirement</t>
  </si>
  <si>
    <t>Payment term</t>
  </si>
  <si>
    <t>Remarks</t>
  </si>
  <si>
    <t>Name &amp; Title :</t>
  </si>
  <si>
    <t>Company Name:</t>
  </si>
  <si>
    <t>Email ID :</t>
  </si>
  <si>
    <r>
      <rPr>
        <b/>
        <sz val="11"/>
        <color theme="1"/>
        <rFont val="Arial"/>
        <family val="2"/>
      </rPr>
      <t xml:space="preserve">Note to Supplier: </t>
    </r>
    <r>
      <rPr>
        <sz val="11"/>
        <color theme="1"/>
        <rFont val="Arial"/>
        <family val="2"/>
      </rPr>
      <t>You are required to send back the followings</t>
    </r>
  </si>
  <si>
    <r>
      <t xml:space="preserve">1. Duly filled CBD sheet fill only yellow colour cells (In </t>
    </r>
    <r>
      <rPr>
        <b/>
        <sz val="11"/>
        <color theme="1"/>
        <rFont val="Arial"/>
        <family val="2"/>
      </rPr>
      <t>excel soft copy &amp; signed stamped hard copy</t>
    </r>
    <r>
      <rPr>
        <sz val="11"/>
        <color theme="1"/>
        <rFont val="Arial"/>
        <family val="2"/>
      </rPr>
      <t>)</t>
    </r>
  </si>
  <si>
    <r>
      <t xml:space="preserve">2. Quotation in your letter head is </t>
    </r>
    <r>
      <rPr>
        <b/>
        <sz val="11"/>
        <color theme="1"/>
        <rFont val="Arial"/>
        <family val="2"/>
      </rPr>
      <t>optional</t>
    </r>
  </si>
  <si>
    <t>Company Seal:</t>
  </si>
  <si>
    <t xml:space="preserve">Mob No: </t>
  </si>
  <si>
    <t>Signature &amp; Date:</t>
  </si>
  <si>
    <t>Site Contact Person/Mob :</t>
  </si>
  <si>
    <t>Unit of 
Measure</t>
  </si>
  <si>
    <t>Project Name
&amp; Site Loaction :</t>
  </si>
  <si>
    <t>Client :</t>
  </si>
  <si>
    <t xml:space="preserve">Subject : </t>
  </si>
  <si>
    <t>Specified Make / Brands :</t>
  </si>
  <si>
    <t>RFQ Ref :</t>
  </si>
  <si>
    <t>RFQ Date :</t>
  </si>
  <si>
    <t>Supplier Quotation Ref :</t>
  </si>
  <si>
    <t>Quotation Date :</t>
  </si>
  <si>
    <t>Quotation</t>
  </si>
  <si>
    <t>Request for</t>
  </si>
  <si>
    <t>Material Submittal Required</t>
  </si>
  <si>
    <t>Yes</t>
  </si>
  <si>
    <t>No</t>
  </si>
  <si>
    <t>Not Applicable</t>
  </si>
  <si>
    <t>Proposal</t>
  </si>
  <si>
    <t>Supplier's compliance to Conditions</t>
  </si>
  <si>
    <t>Comply</t>
  </si>
  <si>
    <t>Not Comply</t>
  </si>
  <si>
    <r>
      <rPr>
        <b/>
        <sz val="11"/>
        <color theme="1"/>
        <rFont val="Arial"/>
        <family val="2"/>
      </rPr>
      <t>If Not Complying, then please propose your terms and conditions here.</t>
    </r>
    <r>
      <rPr>
        <b/>
        <sz val="12"/>
        <color theme="1"/>
        <rFont val="Arial"/>
        <family val="2"/>
      </rPr>
      <t xml:space="preserve">
</t>
    </r>
    <r>
      <rPr>
        <b/>
        <i/>
        <sz val="8"/>
        <color rgb="FFFF0000"/>
        <rFont val="Arial"/>
        <family val="2"/>
      </rPr>
      <t>(Any deviation in the default terms and conditions will have an impact on the final award)</t>
    </r>
  </si>
  <si>
    <t>Make / Brand</t>
  </si>
  <si>
    <t>Article Code</t>
  </si>
  <si>
    <t>Material of Construction</t>
  </si>
  <si>
    <t>Outer skin</t>
  </si>
  <si>
    <t>0.6 mm / Pre-coated GSS</t>
  </si>
  <si>
    <t>Inner Skin</t>
  </si>
  <si>
    <t>0.6 mm / Aluzinc</t>
  </si>
  <si>
    <t>Frame work</t>
  </si>
  <si>
    <r>
      <t xml:space="preserve">Extruded aluminium structural framework </t>
    </r>
    <r>
      <rPr>
        <b/>
        <sz val="10"/>
        <color theme="1"/>
        <rFont val="Tahoma"/>
        <family val="2"/>
      </rPr>
      <t>without thermal break profile</t>
    </r>
    <r>
      <rPr>
        <sz val="10"/>
        <color theme="1"/>
        <rFont val="Tahoma"/>
        <family val="2"/>
      </rPr>
      <t>.</t>
    </r>
  </si>
  <si>
    <t>Thickness of insulated panels</t>
  </si>
  <si>
    <t>25 mm</t>
  </si>
  <si>
    <t>Insulation Material / Density in kg/m3</t>
  </si>
  <si>
    <t>PUF / 40</t>
  </si>
  <si>
    <t>Material of Drain pan / Insulation</t>
  </si>
  <si>
    <t>1.2mm SS with 13mm thick nitrile rubber insulation.</t>
  </si>
  <si>
    <t>AHU Configuration</t>
  </si>
  <si>
    <t xml:space="preserve">Box Panel Filter + Cooling Coil + Supply Fan Assembly. </t>
  </si>
  <si>
    <t>Filter Section</t>
  </si>
  <si>
    <t>Make</t>
  </si>
  <si>
    <t>Thermadyne/Camfil/Equivalent</t>
  </si>
  <si>
    <t>Filter Section includes</t>
  </si>
  <si>
    <t>Pre-Filter</t>
  </si>
  <si>
    <t>Efficiency of Pre-filters (EU-4)</t>
  </si>
  <si>
    <t>G4/EU4/-/90%@10micron</t>
  </si>
  <si>
    <t>Thickness of Pre-filter</t>
  </si>
  <si>
    <t xml:space="preserve">50 mm </t>
  </si>
  <si>
    <t>Manometers/Gauges/DPIS</t>
  </si>
  <si>
    <t>Cooling Coil</t>
  </si>
  <si>
    <t>Cooling Coil type</t>
  </si>
  <si>
    <t xml:space="preserve">Chilled Water </t>
  </si>
  <si>
    <t>Coil Casing Material / Thickness</t>
  </si>
  <si>
    <t>GI / 1.5 mm</t>
  </si>
  <si>
    <t>Material of Tube</t>
  </si>
  <si>
    <t>Copper</t>
  </si>
  <si>
    <t>Header Material</t>
  </si>
  <si>
    <t>Tube dia. In mm / inch</t>
  </si>
  <si>
    <t>12.7 mm / 1/2 inch</t>
  </si>
  <si>
    <t>Tube Thickness</t>
  </si>
  <si>
    <t>0.41 mm</t>
  </si>
  <si>
    <t>Fin Material</t>
  </si>
  <si>
    <t>Aluminum</t>
  </si>
  <si>
    <t>Fin coating</t>
  </si>
  <si>
    <t>Pre-coated Blue Fins</t>
  </si>
  <si>
    <t>Fin thickness</t>
  </si>
  <si>
    <t>0.15 mm</t>
  </si>
  <si>
    <t xml:space="preserve">Fin spacing in FPI </t>
  </si>
  <si>
    <t>12 fpi (2.1 mm spacing)/10 fpi (2.54 mm spacing)</t>
  </si>
  <si>
    <t xml:space="preserve">Face Velocity across coil </t>
  </si>
  <si>
    <t>Maximum 2.5 m/s</t>
  </si>
  <si>
    <t>Supply Fan Assembly Section</t>
  </si>
  <si>
    <t>Nicotra/Equivalent</t>
  </si>
  <si>
    <t>Fan Type</t>
  </si>
  <si>
    <t>DIDW Centrifugal Forward Cruved</t>
  </si>
  <si>
    <t>Motor Make</t>
  </si>
  <si>
    <t>ABB/Siemens/Crompton/Equivalent</t>
  </si>
  <si>
    <t>Motor Type</t>
  </si>
  <si>
    <t>TEFC</t>
  </si>
  <si>
    <t>Motor Efficiency Class</t>
  </si>
  <si>
    <t>IE 2</t>
  </si>
  <si>
    <t>Insulation Class</t>
  </si>
  <si>
    <t>Class F</t>
  </si>
  <si>
    <t xml:space="preserve">Motor Protection </t>
  </si>
  <si>
    <t>IP 55</t>
  </si>
  <si>
    <t>Initial offer</t>
  </si>
  <si>
    <t>Revised offer</t>
  </si>
  <si>
    <t>Post Bid / Best &amp; Final offer</t>
  </si>
  <si>
    <t>DDP to Project Site and 2-3 Days from order confirmation/LPO</t>
  </si>
  <si>
    <t>Delivery Term and Lead Time</t>
  </si>
  <si>
    <t>Multiple</t>
  </si>
  <si>
    <t>As mentioned against each items</t>
  </si>
  <si>
    <t>Ramool Store – Warehouse Stock Replenishment</t>
  </si>
  <si>
    <r>
      <t xml:space="preserve">100% of order value through open credit -  </t>
    </r>
    <r>
      <rPr>
        <b/>
        <sz val="11"/>
        <color theme="1"/>
        <rFont val="Arial"/>
        <family val="2"/>
      </rPr>
      <t>120 days open credit</t>
    </r>
  </si>
  <si>
    <t>The supplier confirms that the quoted prices already factor in all foreseeable risks, including regional instability, supply chain disruptions, and logistics challenges.
No claims for price escalation on account of war risk, force majeure related cost increase, or material shortages shall be entertained during the quotation validity or LPO period.</t>
  </si>
  <si>
    <t>Price Locking</t>
  </si>
  <si>
    <t>Price Validity</t>
  </si>
  <si>
    <t>Quoted price shall be valid for a period of 3 months</t>
  </si>
  <si>
    <t>Delivery requirement</t>
  </si>
  <si>
    <t>All the materials to be delivered in multiple lots as per site Call-offs</t>
  </si>
  <si>
    <t>Mr. Syed Thameem +971 527103210</t>
  </si>
  <si>
    <t>STANDARD</t>
  </si>
  <si>
    <t>EA</t>
  </si>
  <si>
    <t>RAK</t>
  </si>
  <si>
    <t>NATIONAL</t>
  </si>
  <si>
    <t>CL00006</t>
  </si>
  <si>
    <t>CL00016</t>
  </si>
  <si>
    <t>CL00021</t>
  </si>
  <si>
    <t>CL00025</t>
  </si>
  <si>
    <t>CL00031</t>
  </si>
  <si>
    <t>CL00032</t>
  </si>
  <si>
    <t>CL00050</t>
  </si>
  <si>
    <t>CL00061</t>
  </si>
  <si>
    <t>CLICK- LOCK</t>
  </si>
  <si>
    <t>ELECTRICPADLOCK</t>
  </si>
  <si>
    <t>EMULSION INT-800</t>
  </si>
  <si>
    <t>ET03-244</t>
  </si>
  <si>
    <t>ET03-49</t>
  </si>
  <si>
    <t>ET03-903</t>
  </si>
  <si>
    <t>ET04-225</t>
  </si>
  <si>
    <t>INTERLOCKZIGZAG</t>
  </si>
  <si>
    <t>STRAIGHTINTERLOCK</t>
  </si>
  <si>
    <t>TILE ADHESIVE CONMIX C500 WHITE 20KG/BAG</t>
  </si>
  <si>
    <t>TILE RAK 20X30 WALL TILE WHITE</t>
  </si>
  <si>
    <t>TILE RAK F/TILE #6068 20X20CM LG</t>
  </si>
  <si>
    <t>TILE RAK M/FLR 30X30 #A00GZSUR-CGY.MOR</t>
  </si>
  <si>
    <t>DR FIXIT PEDIFINE 2K WATER PROOFING 15KG</t>
  </si>
  <si>
    <t>PVC TILES CORNER WHITE COLOR 8.6x8.1x252</t>
  </si>
  <si>
    <t>TILE RAK FLR 30X30 #AOOGZMLE.LPE.MORE RO</t>
  </si>
  <si>
    <t>BID GRAVEL MIX CONMIX 40X20 50KG</t>
  </si>
  <si>
    <t>SLIDING DOOR CLICK LOCK</t>
  </si>
  <si>
    <t>ELECTRIC STANDARD PAD LOCK W/MASTER KEY</t>
  </si>
  <si>
    <t>NATIONAL EMULSION INTERIOR PAINT - 800</t>
  </si>
  <si>
    <t>LAQUER THINNER NATIONAL 4LTR</t>
  </si>
  <si>
    <t>CEMENT BLACK EMIRATES 50KG</t>
  </si>
  <si>
    <t>MARBLE GLUE FEVICOL</t>
  </si>
  <si>
    <t>EMPTY GUNNY BAG WHITE</t>
  </si>
  <si>
    <t>INTERLOCK 20X10X8CM GREY ZIGZAG TYPE</t>
  </si>
  <si>
    <t>INTERLOCK 20X10X8CM BLACK STRAIGHT TYPE</t>
  </si>
  <si>
    <t>CONMIX</t>
  </si>
  <si>
    <t>DR FIXIT</t>
  </si>
  <si>
    <t>ROBUSTINE</t>
  </si>
  <si>
    <t>EMIRATES</t>
  </si>
  <si>
    <t>FEVICOL</t>
  </si>
  <si>
    <t>PR SS26-00150</t>
  </si>
  <si>
    <t>Supply of CIVIL Material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</si>
</sst>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_);_(* \(#,##0\);_(* &quot;-&quot;??_);_(@_)"/>
  </numFmts>
  <fonts count="21" x14ac:knownFonts="1">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Calibri"/>
      <family val="2"/>
      <scheme val="minor"/>
    </font>
    <font>
      <b/>
      <sz val="11"/>
      <color theme="1"/>
      <name val="Arial"/>
      <family val="2"/>
    </font>
    <font>
      <sz val="11"/>
      <color theme="1"/>
      <name val="Arial"/>
      <family val="2"/>
    </font>
    <font>
      <b/>
      <sz val="26"/>
      <color theme="1"/>
      <name val="Arial"/>
      <family val="2"/>
    </font>
    <font>
      <b/>
      <sz val="12"/>
      <color theme="1"/>
      <name val="Arial"/>
      <family val="2"/>
    </font>
    <font>
      <b/>
      <sz val="11"/>
      <name val="Arial"/>
      <family val="2"/>
    </font>
    <font>
      <b/>
      <sz val="11"/>
      <color theme="1"/>
      <name val="Calibri"/>
      <family val="2"/>
      <scheme val="minor"/>
    </font>
    <font>
      <b/>
      <sz val="16"/>
      <color theme="1"/>
      <name val="Arial"/>
      <family val="2"/>
    </font>
    <font>
      <b/>
      <u/>
      <sz val="11"/>
      <color theme="1"/>
      <name val="Arial"/>
      <family val="2"/>
    </font>
    <font>
      <b/>
      <i/>
      <sz val="8"/>
      <color rgb="FFFF0000"/>
      <name val="Arial"/>
      <family val="2"/>
    </font>
    <font>
      <sz val="11"/>
      <name val="Arial"/>
      <family val="2"/>
    </font>
    <font>
      <b/>
      <sz val="10"/>
      <color theme="1"/>
      <name val="Tahoma"/>
      <family val="2"/>
    </font>
    <font>
      <sz val="10"/>
      <color theme="1"/>
      <name val="Tahoma"/>
      <family val="2"/>
    </font>
    <font>
      <b/>
      <sz val="12"/>
      <color indexed="81"/>
      <name val="Tahoma"/>
      <family val="2"/>
    </font>
    <font>
      <sz val="12"/>
      <name val="Calibri Light"/>
      <family val="2"/>
      <scheme val="major"/>
    </font>
    <font>
      <sz val="12"/>
      <color theme="1"/>
      <name val="Calibri Light"/>
      <family val="2"/>
      <scheme val="major"/>
    </font>
  </fonts>
  <fills count="7">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theme="7" tint="0.79998168889431442"/>
        <bgColor indexed="64"/>
      </patternFill>
    </fill>
  </fills>
  <borders count="34">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style="medium">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top style="thin">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2">
    <xf numFmtId="0" fontId="0" fillId="0" borderId="0"/>
    <xf numFmtId="164" fontId="5" fillId="0" borderId="0" applyFont="0" applyFill="0" applyBorder="0" applyAlignment="0" applyProtection="0"/>
  </cellStyleXfs>
  <cellXfs count="113">
    <xf numFmtId="0" fontId="0" fillId="0" borderId="0" xfId="0"/>
    <xf numFmtId="164" fontId="6" fillId="2" borderId="5" xfId="1" applyFont="1" applyFill="1" applyBorder="1" applyAlignment="1" applyProtection="1">
      <alignment vertical="center" wrapText="1"/>
      <protection locked="0"/>
    </xf>
    <xf numFmtId="0" fontId="7" fillId="0" borderId="0" xfId="0" applyFont="1" applyAlignment="1">
      <alignment vertical="center"/>
    </xf>
    <xf numFmtId="0" fontId="7" fillId="0" borderId="0" xfId="0" applyFont="1" applyAlignment="1">
      <alignment horizontal="center" vertical="center"/>
    </xf>
    <xf numFmtId="0" fontId="7" fillId="0" borderId="4" xfId="0" applyFont="1" applyBorder="1" applyAlignment="1">
      <alignment horizontal="center" vertical="center" wrapText="1"/>
    </xf>
    <xf numFmtId="164" fontId="6" fillId="0" borderId="6" xfId="1" applyFont="1" applyBorder="1" applyAlignment="1" applyProtection="1">
      <alignment vertical="center" wrapText="1"/>
    </xf>
    <xf numFmtId="0" fontId="7" fillId="0" borderId="0" xfId="0" applyFont="1" applyAlignment="1">
      <alignment vertical="center" wrapText="1"/>
    </xf>
    <xf numFmtId="0" fontId="7" fillId="0" borderId="10" xfId="0" applyFont="1" applyBorder="1" applyAlignment="1">
      <alignment horizontal="left" vertical="center"/>
    </xf>
    <xf numFmtId="165" fontId="6" fillId="0" borderId="0" xfId="1" applyNumberFormat="1" applyFont="1" applyFill="1" applyBorder="1" applyAlignment="1" applyProtection="1">
      <alignment horizontal="left" vertical="center"/>
    </xf>
    <xf numFmtId="164" fontId="6" fillId="0" borderId="0" xfId="1" applyFont="1" applyFill="1" applyBorder="1" applyAlignment="1" applyProtection="1">
      <alignment horizontal="left" vertical="center"/>
    </xf>
    <xf numFmtId="165" fontId="6" fillId="0" borderId="0" xfId="1" applyNumberFormat="1" applyFont="1" applyFill="1" applyBorder="1" applyAlignment="1" applyProtection="1">
      <alignment horizontal="centerContinuous" vertical="center"/>
    </xf>
    <xf numFmtId="164" fontId="6" fillId="0" borderId="0" xfId="1" applyFont="1" applyFill="1" applyBorder="1" applyAlignment="1" applyProtection="1">
      <alignment horizontal="centerContinuous" vertical="center"/>
    </xf>
    <xf numFmtId="0" fontId="7" fillId="0" borderId="14" xfId="0" applyFont="1" applyBorder="1" applyAlignment="1">
      <alignment horizontal="left" vertical="center"/>
    </xf>
    <xf numFmtId="0" fontId="7" fillId="0" borderId="15" xfId="0" applyFont="1" applyBorder="1" applyAlignment="1">
      <alignment vertical="center"/>
    </xf>
    <xf numFmtId="165" fontId="7" fillId="0" borderId="15" xfId="1" applyNumberFormat="1" applyFont="1" applyBorder="1" applyAlignment="1" applyProtection="1">
      <alignment vertical="center"/>
    </xf>
    <xf numFmtId="164" fontId="7" fillId="0" borderId="15" xfId="1" applyFont="1" applyBorder="1" applyAlignment="1" applyProtection="1">
      <alignment vertical="center"/>
    </xf>
    <xf numFmtId="164" fontId="7" fillId="0" borderId="16" xfId="1" applyFont="1" applyBorder="1" applyAlignment="1" applyProtection="1">
      <alignment vertical="center"/>
    </xf>
    <xf numFmtId="165" fontId="7" fillId="0" borderId="0" xfId="1" applyNumberFormat="1" applyFont="1" applyAlignment="1" applyProtection="1">
      <alignment vertical="center"/>
    </xf>
    <xf numFmtId="164" fontId="7" fillId="0" borderId="0" xfId="1" applyFont="1" applyAlignment="1" applyProtection="1">
      <alignment vertical="center"/>
    </xf>
    <xf numFmtId="0" fontId="6" fillId="0" borderId="18" xfId="0" applyFont="1" applyBorder="1" applyAlignment="1">
      <alignment vertical="center" wrapText="1"/>
    </xf>
    <xf numFmtId="0" fontId="6" fillId="0" borderId="5" xfId="0" applyFont="1" applyBorder="1" applyAlignment="1">
      <alignment vertical="center" wrapText="1"/>
    </xf>
    <xf numFmtId="0" fontId="6" fillId="0" borderId="8" xfId="0" applyFont="1" applyBorder="1" applyAlignment="1">
      <alignment vertical="center" wrapText="1"/>
    </xf>
    <xf numFmtId="0" fontId="8" fillId="0" borderId="10" xfId="0" applyFont="1" applyBorder="1" applyAlignment="1">
      <alignment horizontal="center" vertical="center"/>
    </xf>
    <xf numFmtId="0" fontId="11" fillId="0" borderId="5" xfId="0" applyFont="1" applyBorder="1"/>
    <xf numFmtId="0" fontId="0" fillId="0" borderId="5" xfId="0" applyBorder="1"/>
    <xf numFmtId="0" fontId="7" fillId="2" borderId="21" xfId="0" applyFont="1" applyFill="1" applyBorder="1" applyAlignment="1" applyProtection="1">
      <alignment horizontal="center" vertical="center"/>
      <protection locked="0"/>
    </xf>
    <xf numFmtId="0" fontId="7" fillId="2" borderId="22" xfId="0" applyFont="1" applyFill="1" applyBorder="1" applyAlignment="1" applyProtection="1">
      <alignment horizontal="center" vertical="center"/>
      <protection locked="0"/>
    </xf>
    <xf numFmtId="0" fontId="7" fillId="2" borderId="23" xfId="0" applyFont="1" applyFill="1" applyBorder="1" applyAlignment="1" applyProtection="1">
      <alignment horizontal="center" vertical="center"/>
      <protection locked="0"/>
    </xf>
    <xf numFmtId="0" fontId="6" fillId="0" borderId="2" xfId="0" applyFont="1" applyBorder="1" applyAlignment="1">
      <alignment horizontal="center" vertical="center" wrapText="1"/>
    </xf>
    <xf numFmtId="0" fontId="6" fillId="3" borderId="1" xfId="0" applyFont="1" applyFill="1" applyBorder="1" applyAlignment="1">
      <alignment horizontal="center" vertical="center" wrapText="1"/>
    </xf>
    <xf numFmtId="0" fontId="6" fillId="3" borderId="2" xfId="0" applyFont="1" applyFill="1" applyBorder="1" applyAlignment="1">
      <alignment horizontal="center" vertical="center"/>
    </xf>
    <xf numFmtId="0" fontId="6" fillId="3" borderId="2" xfId="0" applyFont="1" applyFill="1" applyBorder="1" applyAlignment="1">
      <alignment horizontal="center" vertical="center" wrapText="1"/>
    </xf>
    <xf numFmtId="164" fontId="6" fillId="3" borderId="2" xfId="1" applyFont="1" applyFill="1" applyBorder="1" applyAlignment="1" applyProtection="1">
      <alignment horizontal="center" vertical="center"/>
    </xf>
    <xf numFmtId="49" fontId="2" fillId="0" borderId="5" xfId="0" applyNumberFormat="1" applyFont="1" applyBorder="1" applyAlignment="1">
      <alignment horizontal="left" vertical="center" wrapText="1"/>
    </xf>
    <xf numFmtId="0" fontId="4" fillId="0" borderId="5" xfId="0" applyFont="1" applyBorder="1" applyAlignment="1" applyProtection="1">
      <alignment horizontal="center" vertical="center" wrapText="1"/>
      <protection locked="0"/>
    </xf>
    <xf numFmtId="164" fontId="9" fillId="5" borderId="6" xfId="1" applyFont="1" applyFill="1" applyBorder="1" applyAlignment="1" applyProtection="1">
      <alignment vertical="center"/>
    </xf>
    <xf numFmtId="165" fontId="6" fillId="3" borderId="2" xfId="1" applyNumberFormat="1" applyFont="1" applyFill="1" applyBorder="1" applyAlignment="1" applyProtection="1">
      <alignment horizontal="center" vertical="center" wrapText="1"/>
    </xf>
    <xf numFmtId="0" fontId="16" fillId="0" borderId="0" xfId="0" applyFont="1"/>
    <xf numFmtId="0" fontId="17" fillId="0" borderId="0" xfId="0" applyFont="1"/>
    <xf numFmtId="0" fontId="16" fillId="0" borderId="5" xfId="0" applyFont="1" applyBorder="1" applyAlignment="1">
      <alignment horizontal="left" vertical="center" wrapText="1"/>
    </xf>
    <xf numFmtId="0" fontId="17" fillId="0" borderId="5" xfId="0" applyFont="1" applyBorder="1" applyAlignment="1">
      <alignment horizontal="justify" vertical="center" wrapText="1"/>
    </xf>
    <xf numFmtId="0" fontId="16" fillId="0" borderId="0" xfId="0" applyFont="1" applyAlignment="1">
      <alignment horizontal="left" vertical="center"/>
    </xf>
    <xf numFmtId="0" fontId="16" fillId="0" borderId="5" xfId="0" applyFont="1" applyBorder="1" applyAlignment="1">
      <alignment horizontal="left" vertical="center"/>
    </xf>
    <xf numFmtId="0" fontId="17" fillId="0" borderId="5" xfId="0" applyFont="1" applyBorder="1" applyAlignment="1">
      <alignment wrapText="1"/>
    </xf>
    <xf numFmtId="0" fontId="17" fillId="0" borderId="5" xfId="0" quotePrefix="1" applyFont="1" applyBorder="1"/>
    <xf numFmtId="0" fontId="17" fillId="0" borderId="5" xfId="0" applyFont="1" applyBorder="1"/>
    <xf numFmtId="0" fontId="16" fillId="0" borderId="5" xfId="0" applyFont="1" applyBorder="1"/>
    <xf numFmtId="0" fontId="1" fillId="0" borderId="17" xfId="0" applyFont="1" applyBorder="1" applyAlignment="1">
      <alignment vertical="center" wrapText="1"/>
    </xf>
    <xf numFmtId="0" fontId="1" fillId="0" borderId="4" xfId="0" applyFont="1" applyBorder="1" applyAlignment="1">
      <alignment vertical="center" wrapText="1"/>
    </xf>
    <xf numFmtId="0" fontId="1" fillId="0" borderId="7" xfId="0" applyFont="1" applyBorder="1" applyAlignment="1">
      <alignment vertical="center" wrapText="1"/>
    </xf>
    <xf numFmtId="0" fontId="10" fillId="0" borderId="2" xfId="0" applyFont="1" applyBorder="1" applyAlignment="1">
      <alignment horizontal="left" vertical="center" wrapText="1"/>
    </xf>
    <xf numFmtId="0" fontId="10" fillId="0" borderId="5" xfId="0" applyFont="1" applyBorder="1" applyAlignment="1">
      <alignment horizontal="left" vertical="center" wrapText="1"/>
    </xf>
    <xf numFmtId="0" fontId="10" fillId="0" borderId="12" xfId="0" applyFont="1" applyBorder="1" applyAlignment="1">
      <alignment horizontal="left" vertical="center" wrapText="1"/>
    </xf>
    <xf numFmtId="164" fontId="1" fillId="0" borderId="5" xfId="1" applyFont="1" applyBorder="1" applyAlignment="1" applyProtection="1">
      <alignment horizontal="center" vertical="center" wrapText="1"/>
    </xf>
    <xf numFmtId="0" fontId="4" fillId="0" borderId="5" xfId="0" applyFont="1" applyBorder="1" applyAlignment="1" applyProtection="1">
      <alignment horizontal="left" vertical="center" wrapText="1"/>
      <protection locked="0"/>
    </xf>
    <xf numFmtId="0" fontId="8" fillId="0" borderId="0" xfId="0" applyFont="1" applyAlignment="1">
      <alignment horizontal="center" vertical="center"/>
    </xf>
    <xf numFmtId="164" fontId="6" fillId="3" borderId="3" xfId="1" applyFont="1" applyFill="1" applyBorder="1" applyAlignment="1" applyProtection="1">
      <alignment horizontal="center" vertical="center"/>
    </xf>
    <xf numFmtId="0" fontId="6" fillId="0" borderId="0" xfId="0" applyFont="1" applyAlignment="1">
      <alignment horizontal="left" vertical="center"/>
    </xf>
    <xf numFmtId="164" fontId="6" fillId="0" borderId="13" xfId="1" applyFont="1" applyFill="1" applyBorder="1" applyAlignment="1" applyProtection="1">
      <alignment horizontal="left" vertical="center"/>
    </xf>
    <xf numFmtId="0" fontId="6" fillId="0" borderId="0" xfId="0" applyFont="1" applyAlignment="1">
      <alignment horizontal="centerContinuous" vertical="center"/>
    </xf>
    <xf numFmtId="164" fontId="6" fillId="0" borderId="13" xfId="1" applyFont="1" applyFill="1" applyBorder="1" applyAlignment="1" applyProtection="1">
      <alignment horizontal="centerContinuous" vertical="center"/>
    </xf>
    <xf numFmtId="0" fontId="19" fillId="0" borderId="5" xfId="0" applyFont="1" applyBorder="1" applyAlignment="1">
      <alignment horizontal="center" vertical="center" wrapText="1"/>
    </xf>
    <xf numFmtId="3" fontId="20" fillId="0" borderId="5" xfId="0" applyNumberFormat="1" applyFont="1" applyBorder="1" applyAlignment="1">
      <alignment horizontal="center"/>
    </xf>
    <xf numFmtId="0" fontId="9" fillId="5" borderId="4" xfId="0" applyFont="1" applyFill="1" applyBorder="1" applyAlignment="1">
      <alignment horizontal="left" vertical="center" wrapText="1"/>
    </xf>
    <xf numFmtId="0" fontId="9" fillId="5" borderId="5" xfId="0" applyFont="1" applyFill="1" applyBorder="1" applyAlignment="1">
      <alignment horizontal="left" vertical="center" wrapText="1"/>
    </xf>
    <xf numFmtId="0" fontId="1" fillId="0" borderId="5" xfId="0" applyFont="1" applyBorder="1" applyAlignment="1">
      <alignment horizontal="left" vertical="center" wrapText="1"/>
    </xf>
    <xf numFmtId="0" fontId="7" fillId="0" borderId="5" xfId="0" applyFont="1" applyBorder="1" applyAlignment="1">
      <alignment horizontal="left" vertical="center" wrapText="1"/>
    </xf>
    <xf numFmtId="49" fontId="4" fillId="0" borderId="5" xfId="1" applyNumberFormat="1" applyFont="1" applyFill="1" applyBorder="1" applyAlignment="1" applyProtection="1">
      <alignment horizontal="left" vertical="center" wrapText="1"/>
      <protection locked="0"/>
    </xf>
    <xf numFmtId="49" fontId="4" fillId="0" borderId="6" xfId="1" applyNumberFormat="1" applyFont="1" applyFill="1" applyBorder="1" applyAlignment="1" applyProtection="1">
      <alignment horizontal="left" vertical="center" wrapText="1"/>
      <protection locked="0"/>
    </xf>
    <xf numFmtId="49" fontId="6" fillId="6" borderId="27" xfId="0" applyNumberFormat="1" applyFont="1" applyFill="1" applyBorder="1" applyAlignment="1">
      <alignment horizontal="left" vertical="center" wrapText="1"/>
    </xf>
    <xf numFmtId="49" fontId="6" fillId="6" borderId="30" xfId="0" applyNumberFormat="1" applyFont="1" applyFill="1" applyBorder="1" applyAlignment="1">
      <alignment horizontal="left" vertical="center" wrapText="1"/>
    </xf>
    <xf numFmtId="49" fontId="6" fillId="6" borderId="31" xfId="0" applyNumberFormat="1" applyFont="1" applyFill="1" applyBorder="1" applyAlignment="1">
      <alignment horizontal="left" vertical="center" wrapText="1"/>
    </xf>
    <xf numFmtId="49" fontId="6" fillId="2" borderId="8" xfId="0" applyNumberFormat="1" applyFont="1" applyFill="1" applyBorder="1" applyAlignment="1" applyProtection="1">
      <alignment horizontal="left" vertical="center" wrapText="1"/>
      <protection locked="0"/>
    </xf>
    <xf numFmtId="49" fontId="6" fillId="2" borderId="9" xfId="0" applyNumberFormat="1" applyFont="1" applyFill="1" applyBorder="1" applyAlignment="1" applyProtection="1">
      <alignment horizontal="left" vertical="center" wrapText="1"/>
      <protection locked="0"/>
    </xf>
    <xf numFmtId="0" fontId="9" fillId="5" borderId="7" xfId="0" applyFont="1" applyFill="1" applyBorder="1" applyAlignment="1">
      <alignment horizontal="left" vertical="center" wrapText="1"/>
    </xf>
    <xf numFmtId="0" fontId="9" fillId="5" borderId="8" xfId="0" applyFont="1" applyFill="1" applyBorder="1" applyAlignment="1">
      <alignment horizontal="left" vertical="center" wrapText="1"/>
    </xf>
    <xf numFmtId="49" fontId="6" fillId="2" borderId="18" xfId="0" applyNumberFormat="1" applyFont="1" applyFill="1" applyBorder="1" applyAlignment="1" applyProtection="1">
      <alignment horizontal="left" vertical="center" wrapText="1"/>
      <protection locked="0"/>
    </xf>
    <xf numFmtId="49" fontId="6" fillId="2" borderId="19" xfId="0" applyNumberFormat="1" applyFont="1" applyFill="1" applyBorder="1" applyAlignment="1" applyProtection="1">
      <alignment horizontal="left" vertical="center" wrapText="1"/>
      <protection locked="0"/>
    </xf>
    <xf numFmtId="49" fontId="6" fillId="2" borderId="5" xfId="0" applyNumberFormat="1" applyFont="1" applyFill="1" applyBorder="1" applyAlignment="1" applyProtection="1">
      <alignment horizontal="left" vertical="center" wrapText="1"/>
      <protection locked="0"/>
    </xf>
    <xf numFmtId="49" fontId="6" fillId="2" borderId="6" xfId="0" applyNumberFormat="1" applyFont="1" applyFill="1" applyBorder="1" applyAlignment="1" applyProtection="1">
      <alignment horizontal="left" vertical="center" wrapText="1"/>
      <protection locked="0"/>
    </xf>
    <xf numFmtId="0" fontId="9" fillId="5" borderId="1" xfId="0" applyFont="1" applyFill="1" applyBorder="1" applyAlignment="1">
      <alignment horizontal="left" vertical="center" wrapText="1"/>
    </xf>
    <xf numFmtId="0" fontId="9" fillId="5" borderId="2" xfId="0" applyFont="1" applyFill="1" applyBorder="1" applyAlignment="1">
      <alignment horizontal="left" vertical="center" wrapText="1"/>
    </xf>
    <xf numFmtId="164" fontId="9" fillId="5" borderId="5" xfId="1" applyFont="1" applyFill="1" applyBorder="1" applyAlignment="1" applyProtection="1">
      <alignment horizontal="center" vertical="center"/>
    </xf>
    <xf numFmtId="49" fontId="7" fillId="2" borderId="8" xfId="0" applyNumberFormat="1" applyFont="1" applyFill="1" applyBorder="1" applyAlignment="1" applyProtection="1">
      <alignment horizontal="left" vertical="center" wrapText="1"/>
      <protection locked="0"/>
    </xf>
    <xf numFmtId="49" fontId="7" fillId="2" borderId="9" xfId="0" applyNumberFormat="1" applyFont="1" applyFill="1" applyBorder="1" applyAlignment="1" applyProtection="1">
      <alignment horizontal="left" vertical="center" wrapText="1"/>
      <protection locked="0"/>
    </xf>
    <xf numFmtId="0" fontId="9" fillId="5" borderId="28" xfId="0" applyFont="1" applyFill="1" applyBorder="1" applyAlignment="1">
      <alignment vertical="center" wrapText="1"/>
    </xf>
    <xf numFmtId="0" fontId="9" fillId="5" borderId="29" xfId="0" applyFont="1" applyFill="1" applyBorder="1" applyAlignment="1">
      <alignment vertical="center" wrapText="1"/>
    </xf>
    <xf numFmtId="0" fontId="12" fillId="0" borderId="25"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6" xfId="0" applyFont="1" applyBorder="1" applyAlignment="1">
      <alignment horizontal="center" vertical="center" wrapText="1"/>
    </xf>
    <xf numFmtId="0" fontId="12" fillId="0" borderId="14"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16" xfId="0" applyFont="1" applyBorder="1" applyAlignment="1">
      <alignment horizontal="center" vertical="center" wrapText="1"/>
    </xf>
    <xf numFmtId="49" fontId="15" fillId="4" borderId="2" xfId="0" applyNumberFormat="1" applyFont="1" applyFill="1" applyBorder="1" applyAlignment="1">
      <alignment horizontal="left" vertical="center" wrapText="1"/>
    </xf>
    <xf numFmtId="49" fontId="15" fillId="4" borderId="5" xfId="0" applyNumberFormat="1" applyFont="1" applyFill="1" applyBorder="1" applyAlignment="1">
      <alignment horizontal="left" vertical="center" wrapText="1"/>
    </xf>
    <xf numFmtId="49" fontId="15" fillId="4" borderId="12" xfId="0" applyNumberFormat="1" applyFont="1" applyFill="1" applyBorder="1" applyAlignment="1">
      <alignment horizontal="left" vertical="center" wrapText="1"/>
    </xf>
    <xf numFmtId="49" fontId="15" fillId="4" borderId="6" xfId="0" applyNumberFormat="1" applyFont="1" applyFill="1" applyBorder="1" applyAlignment="1">
      <alignment horizontal="left" vertical="center" wrapText="1"/>
    </xf>
    <xf numFmtId="0" fontId="10" fillId="0" borderId="1" xfId="0" applyFont="1" applyBorder="1" applyAlignment="1">
      <alignment horizontal="left" vertical="center" wrapText="1"/>
    </xf>
    <xf numFmtId="0" fontId="10" fillId="0" borderId="2" xfId="0" applyFont="1" applyBorder="1" applyAlignment="1">
      <alignment horizontal="left" vertical="center" wrapText="1"/>
    </xf>
    <xf numFmtId="0" fontId="10" fillId="0" borderId="4" xfId="0" applyFont="1" applyBorder="1" applyAlignment="1">
      <alignment horizontal="left" vertical="center" wrapText="1"/>
    </xf>
    <xf numFmtId="0" fontId="10" fillId="0" borderId="5" xfId="0" applyFont="1" applyBorder="1" applyAlignment="1">
      <alignment horizontal="left" vertical="center" wrapText="1"/>
    </xf>
    <xf numFmtId="0" fontId="10" fillId="0" borderId="11" xfId="0" applyFont="1" applyBorder="1" applyAlignment="1">
      <alignment horizontal="left" vertical="center" wrapText="1"/>
    </xf>
    <xf numFmtId="0" fontId="10" fillId="0" borderId="12" xfId="0" applyFont="1" applyBorder="1" applyAlignment="1">
      <alignment horizontal="left" vertical="center" wrapText="1"/>
    </xf>
    <xf numFmtId="49" fontId="3" fillId="2" borderId="5" xfId="1" applyNumberFormat="1" applyFont="1" applyFill="1" applyBorder="1" applyAlignment="1" applyProtection="1">
      <alignment horizontal="left" vertical="center" wrapText="1"/>
      <protection locked="0"/>
    </xf>
    <xf numFmtId="49" fontId="3" fillId="2" borderId="6" xfId="1" applyNumberFormat="1" applyFont="1" applyFill="1" applyBorder="1" applyAlignment="1" applyProtection="1">
      <alignment horizontal="left" vertical="center" wrapText="1"/>
      <protection locked="0"/>
    </xf>
    <xf numFmtId="49" fontId="3" fillId="2" borderId="12" xfId="1" applyNumberFormat="1" applyFont="1" applyFill="1" applyBorder="1" applyAlignment="1" applyProtection="1">
      <alignment horizontal="left" vertical="center" wrapText="1"/>
      <protection locked="0"/>
    </xf>
    <xf numFmtId="49" fontId="3" fillId="2" borderId="24" xfId="1" applyNumberFormat="1" applyFont="1" applyFill="1" applyBorder="1" applyAlignment="1" applyProtection="1">
      <alignment horizontal="left" vertical="center" wrapText="1"/>
      <protection locked="0"/>
    </xf>
    <xf numFmtId="49" fontId="8" fillId="0" borderId="32" xfId="0" applyNumberFormat="1" applyFont="1" applyBorder="1" applyAlignment="1">
      <alignment horizontal="center" vertical="center"/>
    </xf>
    <xf numFmtId="0" fontId="8" fillId="0" borderId="33" xfId="0" applyFont="1" applyBorder="1" applyAlignment="1">
      <alignment horizontal="center" vertical="center"/>
    </xf>
    <xf numFmtId="0" fontId="9" fillId="4" borderId="2" xfId="0" applyFont="1" applyFill="1" applyBorder="1" applyAlignment="1">
      <alignment horizontal="center" vertical="center" wrapText="1"/>
    </xf>
    <xf numFmtId="0" fontId="9" fillId="4" borderId="3" xfId="0" applyFont="1" applyFill="1" applyBorder="1" applyAlignment="1">
      <alignment horizontal="center" vertical="center" wrapText="1"/>
    </xf>
    <xf numFmtId="0" fontId="13" fillId="0" borderId="2" xfId="0" applyFont="1" applyBorder="1" applyAlignment="1">
      <alignment horizontal="center" vertical="center" wrapText="1"/>
    </xf>
    <xf numFmtId="0" fontId="15" fillId="0" borderId="5" xfId="0" applyFont="1" applyBorder="1" applyAlignment="1">
      <alignment horizontal="left" vertical="center" wrapText="1"/>
    </xf>
  </cellXfs>
  <cellStyles count="2">
    <cellStyle name="Comma" xfId="1" builtinId="3"/>
    <cellStyle name="Normal" xfId="0" builtinId="0"/>
  </cellStyles>
  <dxfs count="7">
    <dxf>
      <fill>
        <patternFill>
          <bgColor rgb="FFFFFF00"/>
        </patternFill>
      </fill>
    </dxf>
    <dxf>
      <fill>
        <patternFill>
          <bgColor theme="0" tint="-0.34998626667073579"/>
        </patternFill>
      </fill>
    </dxf>
    <dxf>
      <fill>
        <patternFill>
          <bgColor theme="9" tint="0.39994506668294322"/>
        </patternFill>
      </fill>
    </dxf>
    <dxf>
      <fill>
        <patternFill>
          <bgColor rgb="FFFFFF00"/>
        </patternFill>
      </fill>
    </dxf>
    <dxf>
      <fill>
        <patternFill>
          <bgColor theme="9" tint="0.39994506668294322"/>
        </patternFill>
      </fill>
    </dxf>
    <dxf>
      <fill>
        <patternFill>
          <bgColor theme="9" tint="0.39994506668294322"/>
        </patternFill>
      </fill>
    </dxf>
    <dxf>
      <fill>
        <patternFill>
          <bgColor theme="9"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130173</xdr:colOff>
      <xdr:row>0</xdr:row>
      <xdr:rowOff>171450</xdr:rowOff>
    </xdr:from>
    <xdr:to>
      <xdr:col>1</xdr:col>
      <xdr:colOff>433386</xdr:colOff>
      <xdr:row>1</xdr:row>
      <xdr:rowOff>257175</xdr:rowOff>
    </xdr:to>
    <xdr:pic>
      <xdr:nvPicPr>
        <xdr:cNvPr id="2" name="Picture 1" descr="Description: Description: Description: Description: cid:image001.png@01D051D7.8A8BA350">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flipH="1">
          <a:off x="130173" y="171450"/>
          <a:ext cx="617538"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H39"/>
  <sheetViews>
    <sheetView showGridLines="0" tabSelected="1" zoomScaleNormal="100" zoomScaleSheetLayoutView="100" workbookViewId="0">
      <selection activeCell="D9" sqref="D9"/>
    </sheetView>
  </sheetViews>
  <sheetFormatPr defaultColWidth="9.140625" defaultRowHeight="14.25" x14ac:dyDescent="0.25"/>
  <cols>
    <col min="1" max="1" width="4.7109375" style="3" customWidth="1"/>
    <col min="2" max="2" width="16.5703125" style="2" customWidth="1"/>
    <col min="3" max="3" width="43.7109375" style="2" customWidth="1"/>
    <col min="4" max="4" width="18.42578125" style="2" customWidth="1"/>
    <col min="5" max="5" width="15.5703125" style="2" customWidth="1"/>
    <col min="6" max="6" width="17.85546875" style="17" customWidth="1"/>
    <col min="7" max="8" width="20.5703125" style="18" customWidth="1"/>
    <col min="9" max="16384" width="9.140625" style="2"/>
  </cols>
  <sheetData>
    <row r="1" spans="1:8" ht="27" customHeight="1" x14ac:dyDescent="0.25">
      <c r="A1" s="87" t="str">
        <f>"RFQ - "&amp;C6&amp;"
 for " &amp;C4</f>
        <v>RFQ - Supply of CIVIL Material
 for Ramool Store – Warehouse Stock Replenishment</v>
      </c>
      <c r="B1" s="88"/>
      <c r="C1" s="88"/>
      <c r="D1" s="88"/>
      <c r="E1" s="88"/>
      <c r="F1" s="88"/>
      <c r="G1" s="88"/>
      <c r="H1" s="89"/>
    </row>
    <row r="2" spans="1:8" ht="28.5" customHeight="1" thickBot="1" x14ac:dyDescent="0.3">
      <c r="A2" s="90"/>
      <c r="B2" s="91"/>
      <c r="C2" s="91"/>
      <c r="D2" s="91"/>
      <c r="E2" s="91"/>
      <c r="F2" s="91"/>
      <c r="G2" s="91"/>
      <c r="H2" s="92"/>
    </row>
    <row r="3" spans="1:8" ht="8.25" customHeight="1" thickBot="1" x14ac:dyDescent="0.3">
      <c r="A3" s="22"/>
      <c r="B3" s="55"/>
      <c r="C3" s="55"/>
      <c r="D3" s="55"/>
      <c r="E3" s="55"/>
      <c r="F3" s="55"/>
      <c r="G3" s="107">
        <f>G34</f>
        <v>0</v>
      </c>
      <c r="H3" s="108"/>
    </row>
    <row r="4" spans="1:8" ht="28.5" customHeight="1" x14ac:dyDescent="0.25">
      <c r="A4" s="97" t="s">
        <v>20</v>
      </c>
      <c r="B4" s="98"/>
      <c r="C4" s="93" t="s">
        <v>109</v>
      </c>
      <c r="D4" s="93"/>
      <c r="E4" s="93"/>
      <c r="F4" s="50" t="s">
        <v>24</v>
      </c>
      <c r="G4" s="94" t="s">
        <v>161</v>
      </c>
      <c r="H4" s="96"/>
    </row>
    <row r="5" spans="1:8" ht="15" x14ac:dyDescent="0.25">
      <c r="A5" s="99" t="s">
        <v>21</v>
      </c>
      <c r="B5" s="100"/>
      <c r="C5" s="94" t="s">
        <v>107</v>
      </c>
      <c r="D5" s="94"/>
      <c r="E5" s="94"/>
      <c r="F5" s="51" t="s">
        <v>25</v>
      </c>
      <c r="G5" s="94"/>
      <c r="H5" s="96"/>
    </row>
    <row r="6" spans="1:8" ht="30" x14ac:dyDescent="0.25">
      <c r="A6" s="99" t="s">
        <v>22</v>
      </c>
      <c r="B6" s="100"/>
      <c r="C6" s="94" t="s">
        <v>162</v>
      </c>
      <c r="D6" s="94"/>
      <c r="E6" s="94"/>
      <c r="F6" s="51" t="s">
        <v>26</v>
      </c>
      <c r="G6" s="103"/>
      <c r="H6" s="104"/>
    </row>
    <row r="7" spans="1:8" ht="28.5" customHeight="1" thickBot="1" x14ac:dyDescent="0.3">
      <c r="A7" s="101" t="s">
        <v>23</v>
      </c>
      <c r="B7" s="102"/>
      <c r="C7" s="95" t="s">
        <v>108</v>
      </c>
      <c r="D7" s="95"/>
      <c r="E7" s="95"/>
      <c r="F7" s="52" t="s">
        <v>27</v>
      </c>
      <c r="G7" s="105"/>
      <c r="H7" s="106"/>
    </row>
    <row r="8" spans="1:8" s="3" customFormat="1" ht="51" customHeight="1" x14ac:dyDescent="0.25">
      <c r="A8" s="29" t="s">
        <v>0</v>
      </c>
      <c r="B8" s="30" t="s">
        <v>40</v>
      </c>
      <c r="C8" s="30" t="s">
        <v>1</v>
      </c>
      <c r="D8" s="30" t="s">
        <v>39</v>
      </c>
      <c r="E8" s="31" t="s">
        <v>19</v>
      </c>
      <c r="F8" s="36" t="s">
        <v>2</v>
      </c>
      <c r="G8" s="32" t="s">
        <v>3</v>
      </c>
      <c r="H8" s="56" t="s">
        <v>4</v>
      </c>
    </row>
    <row r="9" spans="1:8" s="6" customFormat="1" ht="28.5" x14ac:dyDescent="0.25">
      <c r="A9" s="4">
        <v>1</v>
      </c>
      <c r="B9" s="33" t="s">
        <v>122</v>
      </c>
      <c r="C9" s="33" t="s">
        <v>139</v>
      </c>
      <c r="D9" s="61" t="s">
        <v>156</v>
      </c>
      <c r="E9" s="62" t="s">
        <v>119</v>
      </c>
      <c r="F9" s="53">
        <v>400</v>
      </c>
      <c r="G9" s="1"/>
      <c r="H9" s="5">
        <f t="shared" ref="H9:H11" si="0">IFERROR(G9*$F9,0)</f>
        <v>0</v>
      </c>
    </row>
    <row r="10" spans="1:8" s="6" customFormat="1" ht="15.75" x14ac:dyDescent="0.25">
      <c r="A10" s="4">
        <v>2</v>
      </c>
      <c r="B10" s="33" t="s">
        <v>123</v>
      </c>
      <c r="C10" s="33" t="s">
        <v>140</v>
      </c>
      <c r="D10" s="61" t="s">
        <v>120</v>
      </c>
      <c r="E10" s="62" t="s">
        <v>119</v>
      </c>
      <c r="F10" s="53">
        <v>300</v>
      </c>
      <c r="G10" s="1"/>
      <c r="H10" s="5">
        <f t="shared" si="0"/>
        <v>0</v>
      </c>
    </row>
    <row r="11" spans="1:8" s="6" customFormat="1" ht="15.75" x14ac:dyDescent="0.25">
      <c r="A11" s="4">
        <v>3</v>
      </c>
      <c r="B11" s="33" t="s">
        <v>124</v>
      </c>
      <c r="C11" s="33" t="s">
        <v>141</v>
      </c>
      <c r="D11" s="61" t="s">
        <v>120</v>
      </c>
      <c r="E11" s="62" t="s">
        <v>119</v>
      </c>
      <c r="F11" s="53">
        <v>20</v>
      </c>
      <c r="G11" s="1"/>
      <c r="H11" s="5">
        <f t="shared" si="0"/>
        <v>0</v>
      </c>
    </row>
    <row r="12" spans="1:8" s="6" customFormat="1" ht="28.5" x14ac:dyDescent="0.25">
      <c r="A12" s="4">
        <v>4</v>
      </c>
      <c r="B12" s="33" t="s">
        <v>125</v>
      </c>
      <c r="C12" s="33" t="s">
        <v>142</v>
      </c>
      <c r="D12" s="61" t="s">
        <v>120</v>
      </c>
      <c r="E12" s="62" t="s">
        <v>119</v>
      </c>
      <c r="F12" s="53">
        <v>50</v>
      </c>
      <c r="G12" s="1"/>
      <c r="H12" s="5">
        <f t="shared" ref="H12:H25" si="1">IFERROR(G12*$F12,0)</f>
        <v>0</v>
      </c>
    </row>
    <row r="13" spans="1:8" s="6" customFormat="1" ht="28.5" x14ac:dyDescent="0.25">
      <c r="A13" s="4">
        <v>5</v>
      </c>
      <c r="B13" s="33" t="s">
        <v>126</v>
      </c>
      <c r="C13" s="33" t="s">
        <v>143</v>
      </c>
      <c r="D13" s="61" t="s">
        <v>157</v>
      </c>
      <c r="E13" s="62" t="s">
        <v>119</v>
      </c>
      <c r="F13" s="53">
        <v>30</v>
      </c>
      <c r="G13" s="1"/>
      <c r="H13" s="5"/>
    </row>
    <row r="14" spans="1:8" s="6" customFormat="1" ht="28.5" x14ac:dyDescent="0.25">
      <c r="A14" s="4">
        <v>6</v>
      </c>
      <c r="B14" s="33" t="s">
        <v>127</v>
      </c>
      <c r="C14" s="33" t="s">
        <v>144</v>
      </c>
      <c r="D14" s="61" t="s">
        <v>118</v>
      </c>
      <c r="E14" s="62" t="s">
        <v>119</v>
      </c>
      <c r="F14" s="53">
        <v>75</v>
      </c>
      <c r="G14" s="1"/>
      <c r="H14" s="5"/>
    </row>
    <row r="15" spans="1:8" s="6" customFormat="1" ht="28.5" x14ac:dyDescent="0.25">
      <c r="A15" s="4">
        <v>7</v>
      </c>
      <c r="B15" s="33" t="s">
        <v>128</v>
      </c>
      <c r="C15" s="33" t="s">
        <v>145</v>
      </c>
      <c r="D15" s="61" t="s">
        <v>120</v>
      </c>
      <c r="E15" s="62" t="s">
        <v>119</v>
      </c>
      <c r="F15" s="53">
        <v>12</v>
      </c>
      <c r="G15" s="1"/>
      <c r="H15" s="5"/>
    </row>
    <row r="16" spans="1:8" s="6" customFormat="1" ht="15.75" x14ac:dyDescent="0.25">
      <c r="A16" s="4">
        <v>8</v>
      </c>
      <c r="B16" s="33" t="s">
        <v>129</v>
      </c>
      <c r="C16" s="33" t="s">
        <v>146</v>
      </c>
      <c r="D16" s="61" t="s">
        <v>156</v>
      </c>
      <c r="E16" s="62" t="s">
        <v>119</v>
      </c>
      <c r="F16" s="53">
        <v>60</v>
      </c>
      <c r="G16" s="1"/>
      <c r="H16" s="5"/>
    </row>
    <row r="17" spans="1:8" s="6" customFormat="1" ht="15.75" x14ac:dyDescent="0.25">
      <c r="A17" s="4">
        <v>9</v>
      </c>
      <c r="B17" s="33" t="s">
        <v>130</v>
      </c>
      <c r="C17" s="33" t="s">
        <v>147</v>
      </c>
      <c r="D17" s="61" t="s">
        <v>158</v>
      </c>
      <c r="E17" s="62" t="s">
        <v>119</v>
      </c>
      <c r="F17" s="53">
        <v>12</v>
      </c>
      <c r="G17" s="1"/>
      <c r="H17" s="5"/>
    </row>
    <row r="18" spans="1:8" s="6" customFormat="1" ht="28.5" x14ac:dyDescent="0.25">
      <c r="A18" s="4">
        <v>10</v>
      </c>
      <c r="B18" s="33" t="s">
        <v>131</v>
      </c>
      <c r="C18" s="33" t="s">
        <v>148</v>
      </c>
      <c r="D18" s="61" t="s">
        <v>118</v>
      </c>
      <c r="E18" s="62" t="s">
        <v>119</v>
      </c>
      <c r="F18" s="53">
        <v>3</v>
      </c>
      <c r="G18" s="1"/>
      <c r="H18" s="5"/>
    </row>
    <row r="19" spans="1:8" s="6" customFormat="1" ht="28.5" x14ac:dyDescent="0.25">
      <c r="A19" s="4">
        <v>11</v>
      </c>
      <c r="B19" s="33" t="s">
        <v>132</v>
      </c>
      <c r="C19" s="33" t="s">
        <v>149</v>
      </c>
      <c r="D19" s="61" t="s">
        <v>121</v>
      </c>
      <c r="E19" s="62" t="s">
        <v>119</v>
      </c>
      <c r="F19" s="53">
        <v>5</v>
      </c>
      <c r="G19" s="1"/>
      <c r="H19" s="5"/>
    </row>
    <row r="20" spans="1:8" s="6" customFormat="1" ht="15.75" x14ac:dyDescent="0.25">
      <c r="A20" s="4">
        <v>12</v>
      </c>
      <c r="B20" s="33" t="s">
        <v>133</v>
      </c>
      <c r="C20" s="33" t="s">
        <v>150</v>
      </c>
      <c r="D20" s="61" t="s">
        <v>121</v>
      </c>
      <c r="E20" s="62" t="s">
        <v>119</v>
      </c>
      <c r="F20" s="53">
        <v>48</v>
      </c>
      <c r="G20" s="1"/>
      <c r="H20" s="5"/>
    </row>
    <row r="21" spans="1:8" s="6" customFormat="1" ht="15.75" x14ac:dyDescent="0.25">
      <c r="A21" s="4">
        <v>13</v>
      </c>
      <c r="B21" s="33" t="s">
        <v>134</v>
      </c>
      <c r="C21" s="33" t="s">
        <v>151</v>
      </c>
      <c r="D21" s="61" t="s">
        <v>159</v>
      </c>
      <c r="E21" s="62" t="s">
        <v>119</v>
      </c>
      <c r="F21" s="53">
        <v>124</v>
      </c>
      <c r="G21" s="1"/>
      <c r="H21" s="5">
        <f t="shared" si="1"/>
        <v>0</v>
      </c>
    </row>
    <row r="22" spans="1:8" s="6" customFormat="1" ht="15.75" x14ac:dyDescent="0.25">
      <c r="A22" s="4">
        <v>14</v>
      </c>
      <c r="B22" s="33" t="s">
        <v>135</v>
      </c>
      <c r="C22" s="33" t="s">
        <v>152</v>
      </c>
      <c r="D22" s="61" t="s">
        <v>160</v>
      </c>
      <c r="E22" s="62" t="s">
        <v>119</v>
      </c>
      <c r="F22" s="53">
        <v>12</v>
      </c>
      <c r="G22" s="1"/>
      <c r="H22" s="5">
        <f t="shared" si="1"/>
        <v>0</v>
      </c>
    </row>
    <row r="23" spans="1:8" s="6" customFormat="1" ht="15.75" x14ac:dyDescent="0.25">
      <c r="A23" s="4">
        <v>15</v>
      </c>
      <c r="B23" s="33" t="s">
        <v>136</v>
      </c>
      <c r="C23" s="33" t="s">
        <v>153</v>
      </c>
      <c r="D23" s="61" t="s">
        <v>118</v>
      </c>
      <c r="E23" s="62" t="s">
        <v>119</v>
      </c>
      <c r="F23" s="53">
        <v>3000</v>
      </c>
      <c r="G23" s="1"/>
      <c r="H23" s="5">
        <f t="shared" si="1"/>
        <v>0</v>
      </c>
    </row>
    <row r="24" spans="1:8" s="6" customFormat="1" ht="28.5" x14ac:dyDescent="0.25">
      <c r="A24" s="4">
        <v>16</v>
      </c>
      <c r="B24" s="33" t="s">
        <v>137</v>
      </c>
      <c r="C24" s="33" t="s">
        <v>154</v>
      </c>
      <c r="D24" s="61" t="s">
        <v>118</v>
      </c>
      <c r="E24" s="62" t="s">
        <v>119</v>
      </c>
      <c r="F24" s="53">
        <v>40</v>
      </c>
      <c r="G24" s="1"/>
      <c r="H24" s="5">
        <f t="shared" si="1"/>
        <v>0</v>
      </c>
    </row>
    <row r="25" spans="1:8" s="6" customFormat="1" ht="28.5" x14ac:dyDescent="0.25">
      <c r="A25" s="4">
        <v>17</v>
      </c>
      <c r="B25" s="33" t="s">
        <v>138</v>
      </c>
      <c r="C25" s="33" t="s">
        <v>155</v>
      </c>
      <c r="D25" s="61" t="s">
        <v>118</v>
      </c>
      <c r="E25" s="62" t="s">
        <v>119</v>
      </c>
      <c r="F25" s="53">
        <v>60</v>
      </c>
      <c r="G25" s="1"/>
      <c r="H25" s="5">
        <f t="shared" si="1"/>
        <v>0</v>
      </c>
    </row>
    <row r="26" spans="1:8" ht="35.25" customHeight="1" thickBot="1" x14ac:dyDescent="0.3">
      <c r="A26" s="85" t="s">
        <v>18</v>
      </c>
      <c r="B26" s="86"/>
      <c r="C26" s="69" t="s">
        <v>117</v>
      </c>
      <c r="D26" s="70"/>
      <c r="E26" s="71"/>
      <c r="F26" s="82" t="s">
        <v>4</v>
      </c>
      <c r="G26" s="82"/>
      <c r="H26" s="35">
        <f>SUM(H9:H25)</f>
        <v>0</v>
      </c>
    </row>
    <row r="27" spans="1:8" ht="57" customHeight="1" x14ac:dyDescent="0.25">
      <c r="A27" s="80" t="s">
        <v>5</v>
      </c>
      <c r="B27" s="81"/>
      <c r="C27" s="111" t="s">
        <v>6</v>
      </c>
      <c r="D27" s="111"/>
      <c r="E27" s="111"/>
      <c r="F27" s="28" t="s">
        <v>35</v>
      </c>
      <c r="G27" s="109" t="s">
        <v>38</v>
      </c>
      <c r="H27" s="110"/>
    </row>
    <row r="28" spans="1:8" ht="31.5" customHeight="1" x14ac:dyDescent="0.25">
      <c r="A28" s="63" t="s">
        <v>106</v>
      </c>
      <c r="B28" s="64"/>
      <c r="C28" s="65" t="s">
        <v>105</v>
      </c>
      <c r="D28" s="66"/>
      <c r="E28" s="66"/>
      <c r="F28" s="34"/>
      <c r="G28" s="67"/>
      <c r="H28" s="68"/>
    </row>
    <row r="29" spans="1:8" ht="42.75" customHeight="1" x14ac:dyDescent="0.25">
      <c r="A29" s="63" t="s">
        <v>115</v>
      </c>
      <c r="B29" s="64"/>
      <c r="C29" s="112" t="s">
        <v>116</v>
      </c>
      <c r="D29" s="112"/>
      <c r="E29" s="112"/>
      <c r="F29" s="54"/>
      <c r="G29" s="67"/>
      <c r="H29" s="68"/>
    </row>
    <row r="30" spans="1:8" ht="31.5" customHeight="1" x14ac:dyDescent="0.25">
      <c r="A30" s="63" t="s">
        <v>113</v>
      </c>
      <c r="B30" s="64"/>
      <c r="C30" s="65" t="s">
        <v>114</v>
      </c>
      <c r="D30" s="66"/>
      <c r="E30" s="66"/>
      <c r="F30" s="34"/>
      <c r="G30" s="67"/>
      <c r="H30" s="68"/>
    </row>
    <row r="31" spans="1:8" ht="92.25" customHeight="1" x14ac:dyDescent="0.25">
      <c r="A31" s="63" t="s">
        <v>112</v>
      </c>
      <c r="B31" s="64"/>
      <c r="C31" s="65" t="s">
        <v>111</v>
      </c>
      <c r="D31" s="66"/>
      <c r="E31" s="66"/>
      <c r="F31" s="54"/>
      <c r="G31" s="67"/>
      <c r="H31" s="68"/>
    </row>
    <row r="32" spans="1:8" ht="29.25" customHeight="1" x14ac:dyDescent="0.25">
      <c r="A32" s="63" t="s">
        <v>7</v>
      </c>
      <c r="B32" s="64"/>
      <c r="C32" s="65" t="s">
        <v>110</v>
      </c>
      <c r="D32" s="66"/>
      <c r="E32" s="66"/>
      <c r="F32" s="34"/>
      <c r="G32" s="67"/>
      <c r="H32" s="68"/>
    </row>
    <row r="33" spans="1:8" ht="37.5" customHeight="1" thickBot="1" x14ac:dyDescent="0.3">
      <c r="A33" s="74" t="s">
        <v>8</v>
      </c>
      <c r="B33" s="75"/>
      <c r="C33" s="83"/>
      <c r="D33" s="83"/>
      <c r="E33" s="83"/>
      <c r="F33" s="83"/>
      <c r="G33" s="83"/>
      <c r="H33" s="84"/>
    </row>
    <row r="34" spans="1:8" ht="35.25" customHeight="1" x14ac:dyDescent="0.25">
      <c r="A34" s="25"/>
      <c r="B34" s="47" t="s">
        <v>102</v>
      </c>
      <c r="C34" s="19" t="s">
        <v>16</v>
      </c>
      <c r="D34" s="76"/>
      <c r="E34" s="76"/>
      <c r="F34" s="19" t="s">
        <v>10</v>
      </c>
      <c r="G34" s="76"/>
      <c r="H34" s="77"/>
    </row>
    <row r="35" spans="1:8" ht="35.25" customHeight="1" x14ac:dyDescent="0.25">
      <c r="A35" s="26"/>
      <c r="B35" s="48" t="s">
        <v>103</v>
      </c>
      <c r="C35" s="20" t="s">
        <v>17</v>
      </c>
      <c r="D35" s="78"/>
      <c r="E35" s="78"/>
      <c r="F35" s="20" t="s">
        <v>9</v>
      </c>
      <c r="G35" s="78"/>
      <c r="H35" s="79"/>
    </row>
    <row r="36" spans="1:8" ht="35.25" customHeight="1" thickBot="1" x14ac:dyDescent="0.3">
      <c r="A36" s="27"/>
      <c r="B36" s="49" t="s">
        <v>104</v>
      </c>
      <c r="C36" s="21" t="s">
        <v>15</v>
      </c>
      <c r="D36" s="72"/>
      <c r="E36" s="72"/>
      <c r="F36" s="21" t="s">
        <v>11</v>
      </c>
      <c r="G36" s="72"/>
      <c r="H36" s="73"/>
    </row>
    <row r="37" spans="1:8" ht="15" x14ac:dyDescent="0.25">
      <c r="A37" s="7" t="s">
        <v>12</v>
      </c>
      <c r="D37" s="57"/>
      <c r="E37" s="57"/>
      <c r="F37" s="8"/>
      <c r="G37" s="9"/>
      <c r="H37" s="58"/>
    </row>
    <row r="38" spans="1:8" ht="15" x14ac:dyDescent="0.25">
      <c r="A38" s="7" t="s">
        <v>13</v>
      </c>
      <c r="D38" s="59"/>
      <c r="E38" s="59"/>
      <c r="F38" s="10"/>
      <c r="G38" s="11"/>
      <c r="H38" s="60"/>
    </row>
    <row r="39" spans="1:8" ht="15.75" thickBot="1" x14ac:dyDescent="0.3">
      <c r="A39" s="12" t="s">
        <v>14</v>
      </c>
      <c r="B39" s="13"/>
      <c r="C39" s="13"/>
      <c r="D39" s="13"/>
      <c r="E39" s="13"/>
      <c r="F39" s="14"/>
      <c r="G39" s="15"/>
      <c r="H39" s="16"/>
    </row>
  </sheetData>
  <protectedRanges>
    <protectedRange sqref="D9:D25" name="Range1_1_1_1_1"/>
    <protectedRange sqref="E9:E25" name="Range1_1_2_3_1"/>
  </protectedRanges>
  <mergeCells count="43">
    <mergeCell ref="G29:H29"/>
    <mergeCell ref="G32:H32"/>
    <mergeCell ref="G27:H27"/>
    <mergeCell ref="C27:E27"/>
    <mergeCell ref="C28:E28"/>
    <mergeCell ref="C29:E29"/>
    <mergeCell ref="C32:E32"/>
    <mergeCell ref="A1:H2"/>
    <mergeCell ref="C4:E4"/>
    <mergeCell ref="C5:E5"/>
    <mergeCell ref="C6:E6"/>
    <mergeCell ref="C7:E7"/>
    <mergeCell ref="G4:H4"/>
    <mergeCell ref="A4:B4"/>
    <mergeCell ref="A5:B5"/>
    <mergeCell ref="A6:B6"/>
    <mergeCell ref="A7:B7"/>
    <mergeCell ref="G5:H5"/>
    <mergeCell ref="G6:H6"/>
    <mergeCell ref="G7:H7"/>
    <mergeCell ref="G3:H3"/>
    <mergeCell ref="C26:E26"/>
    <mergeCell ref="G36:H36"/>
    <mergeCell ref="A33:B33"/>
    <mergeCell ref="G34:H34"/>
    <mergeCell ref="G35:H35"/>
    <mergeCell ref="D36:E36"/>
    <mergeCell ref="D35:E35"/>
    <mergeCell ref="A27:B27"/>
    <mergeCell ref="D34:E34"/>
    <mergeCell ref="F26:G26"/>
    <mergeCell ref="C33:H33"/>
    <mergeCell ref="A32:B32"/>
    <mergeCell ref="A28:B28"/>
    <mergeCell ref="A29:B29"/>
    <mergeCell ref="A26:B26"/>
    <mergeCell ref="G28:H28"/>
    <mergeCell ref="A31:B31"/>
    <mergeCell ref="C31:E31"/>
    <mergeCell ref="G31:H31"/>
    <mergeCell ref="A30:B30"/>
    <mergeCell ref="C30:E30"/>
    <mergeCell ref="G30:H30"/>
  </mergeCells>
  <conditionalFormatting sqref="C4:C6">
    <cfRule type="containsBlanks" dxfId="6" priority="75">
      <formula>LEN(TRIM(C4))=0</formula>
    </cfRule>
  </conditionalFormatting>
  <conditionalFormatting sqref="C26">
    <cfRule type="containsBlanks" dxfId="5" priority="65">
      <formula>LEN(TRIM(C26))=0</formula>
    </cfRule>
  </conditionalFormatting>
  <conditionalFormatting sqref="F9:F25">
    <cfRule type="containsBlanks" dxfId="4" priority="83">
      <formula>LEN(TRIM(F9))=0</formula>
    </cfRule>
  </conditionalFormatting>
  <conditionalFormatting sqref="F28:F32">
    <cfRule type="containsBlanks" dxfId="3" priority="10">
      <formula>LEN(TRIM(F28))=0</formula>
    </cfRule>
  </conditionalFormatting>
  <conditionalFormatting sqref="G4:G5">
    <cfRule type="containsBlanks" dxfId="2" priority="6">
      <formula>LEN(TRIM(G4))=0</formula>
    </cfRule>
  </conditionalFormatting>
  <conditionalFormatting sqref="G28:G32">
    <cfRule type="expression" dxfId="1" priority="61">
      <formula>F28="Comply"</formula>
    </cfRule>
    <cfRule type="expression" dxfId="0" priority="63">
      <formula>F28="Not Comply"</formula>
    </cfRule>
  </conditionalFormatting>
  <dataValidations count="1">
    <dataValidation type="list" allowBlank="1" showInputMessage="1" showErrorMessage="1" sqref="F28:F32" xr:uid="{47AB1FEF-0B81-4965-B1EC-2C8DE243BF97}">
      <formula1>"Comply, Not Comply"</formula1>
    </dataValidation>
  </dataValidations>
  <printOptions horizontalCentered="1"/>
  <pageMargins left="0.33" right="0.17" top="0.36" bottom="0.25" header="0.25" footer="0"/>
  <pageSetup paperSize="9" scale="62" fitToHeight="0" orientation="portrait" r:id="rId1"/>
  <headerFooter>
    <oddFooter>&amp;C&amp;1#&amp;"Calibri"&amp;10&amp;K000000Public : Al-Futtaim Group</oddFooter>
  </headerFooter>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C39"/>
  <sheetViews>
    <sheetView workbookViewId="0">
      <selection activeCell="G27" sqref="G27"/>
    </sheetView>
  </sheetViews>
  <sheetFormatPr defaultRowHeight="15" x14ac:dyDescent="0.25"/>
  <cols>
    <col min="2" max="2" width="30.7109375" bestFit="1" customWidth="1"/>
    <col min="3" max="3" width="43" bestFit="1" customWidth="1"/>
  </cols>
  <sheetData>
    <row r="2" spans="2:3" x14ac:dyDescent="0.25">
      <c r="B2" s="37" t="s">
        <v>41</v>
      </c>
      <c r="C2" s="38"/>
    </row>
    <row r="3" spans="2:3" x14ac:dyDescent="0.25">
      <c r="B3" s="39" t="s">
        <v>42</v>
      </c>
      <c r="C3" s="40" t="s">
        <v>43</v>
      </c>
    </row>
    <row r="4" spans="2:3" x14ac:dyDescent="0.25">
      <c r="B4" s="39" t="s">
        <v>44</v>
      </c>
      <c r="C4" s="40" t="s">
        <v>45</v>
      </c>
    </row>
    <row r="5" spans="2:3" ht="25.5" x14ac:dyDescent="0.25">
      <c r="B5" s="39" t="s">
        <v>46</v>
      </c>
      <c r="C5" s="40" t="s">
        <v>47</v>
      </c>
    </row>
    <row r="6" spans="2:3" x14ac:dyDescent="0.25">
      <c r="B6" s="39" t="s">
        <v>48</v>
      </c>
      <c r="C6" s="40" t="s">
        <v>49</v>
      </c>
    </row>
    <row r="7" spans="2:3" ht="25.5" x14ac:dyDescent="0.25">
      <c r="B7" s="39" t="s">
        <v>50</v>
      </c>
      <c r="C7" s="40" t="s">
        <v>51</v>
      </c>
    </row>
    <row r="8" spans="2:3" ht="25.5" x14ac:dyDescent="0.25">
      <c r="B8" s="39" t="s">
        <v>52</v>
      </c>
      <c r="C8" s="40" t="s">
        <v>53</v>
      </c>
    </row>
    <row r="9" spans="2:3" x14ac:dyDescent="0.25">
      <c r="B9" s="41"/>
      <c r="C9" s="38"/>
    </row>
    <row r="10" spans="2:3" ht="26.25" x14ac:dyDescent="0.25">
      <c r="B10" s="42" t="s">
        <v>54</v>
      </c>
      <c r="C10" s="43" t="s">
        <v>55</v>
      </c>
    </row>
    <row r="11" spans="2:3" x14ac:dyDescent="0.25">
      <c r="B11" s="41"/>
      <c r="C11" s="38"/>
    </row>
    <row r="12" spans="2:3" x14ac:dyDescent="0.25">
      <c r="B12" s="41" t="s">
        <v>56</v>
      </c>
      <c r="C12" s="38"/>
    </row>
    <row r="13" spans="2:3" x14ac:dyDescent="0.25">
      <c r="B13" s="42" t="s">
        <v>57</v>
      </c>
      <c r="C13" s="44" t="s">
        <v>58</v>
      </c>
    </row>
    <row r="14" spans="2:3" x14ac:dyDescent="0.25">
      <c r="B14" s="42" t="s">
        <v>59</v>
      </c>
      <c r="C14" s="44" t="s">
        <v>60</v>
      </c>
    </row>
    <row r="15" spans="2:3" x14ac:dyDescent="0.25">
      <c r="B15" s="42" t="s">
        <v>61</v>
      </c>
      <c r="C15" s="44" t="s">
        <v>62</v>
      </c>
    </row>
    <row r="16" spans="2:3" x14ac:dyDescent="0.25">
      <c r="B16" s="42" t="s">
        <v>63</v>
      </c>
      <c r="C16" s="45" t="s">
        <v>64</v>
      </c>
    </row>
    <row r="17" spans="2:3" x14ac:dyDescent="0.25">
      <c r="B17" s="42" t="s">
        <v>65</v>
      </c>
      <c r="C17" s="45" t="s">
        <v>32</v>
      </c>
    </row>
    <row r="18" spans="2:3" x14ac:dyDescent="0.25">
      <c r="B18" s="37"/>
      <c r="C18" s="38"/>
    </row>
    <row r="19" spans="2:3" x14ac:dyDescent="0.25">
      <c r="B19" s="41" t="s">
        <v>66</v>
      </c>
      <c r="C19" s="38"/>
    </row>
    <row r="20" spans="2:3" x14ac:dyDescent="0.25">
      <c r="B20" s="46" t="s">
        <v>67</v>
      </c>
      <c r="C20" s="45" t="s">
        <v>68</v>
      </c>
    </row>
    <row r="21" spans="2:3" x14ac:dyDescent="0.25">
      <c r="B21" s="46" t="s">
        <v>69</v>
      </c>
      <c r="C21" s="45" t="s">
        <v>70</v>
      </c>
    </row>
    <row r="22" spans="2:3" x14ac:dyDescent="0.25">
      <c r="B22" s="46" t="s">
        <v>71</v>
      </c>
      <c r="C22" s="45" t="s">
        <v>72</v>
      </c>
    </row>
    <row r="23" spans="2:3" x14ac:dyDescent="0.25">
      <c r="B23" s="46" t="s">
        <v>73</v>
      </c>
      <c r="C23" s="45" t="s">
        <v>72</v>
      </c>
    </row>
    <row r="24" spans="2:3" x14ac:dyDescent="0.25">
      <c r="B24" s="46" t="s">
        <v>74</v>
      </c>
      <c r="C24" s="45" t="s">
        <v>75</v>
      </c>
    </row>
    <row r="25" spans="2:3" x14ac:dyDescent="0.25">
      <c r="B25" s="46" t="s">
        <v>76</v>
      </c>
      <c r="C25" s="45" t="s">
        <v>77</v>
      </c>
    </row>
    <row r="26" spans="2:3" x14ac:dyDescent="0.25">
      <c r="B26" s="46" t="s">
        <v>78</v>
      </c>
      <c r="C26" s="45" t="s">
        <v>79</v>
      </c>
    </row>
    <row r="27" spans="2:3" x14ac:dyDescent="0.25">
      <c r="B27" s="46" t="s">
        <v>80</v>
      </c>
      <c r="C27" s="45" t="s">
        <v>81</v>
      </c>
    </row>
    <row r="28" spans="2:3" x14ac:dyDescent="0.25">
      <c r="B28" s="46" t="s">
        <v>82</v>
      </c>
      <c r="C28" s="45" t="s">
        <v>83</v>
      </c>
    </row>
    <row r="29" spans="2:3" x14ac:dyDescent="0.25">
      <c r="B29" s="46" t="s">
        <v>84</v>
      </c>
      <c r="C29" s="45" t="s">
        <v>85</v>
      </c>
    </row>
    <row r="30" spans="2:3" x14ac:dyDescent="0.25">
      <c r="B30" s="46" t="s">
        <v>86</v>
      </c>
      <c r="C30" s="45" t="s">
        <v>87</v>
      </c>
    </row>
    <row r="31" spans="2:3" x14ac:dyDescent="0.25">
      <c r="B31" s="38"/>
      <c r="C31" s="38"/>
    </row>
    <row r="32" spans="2:3" x14ac:dyDescent="0.25">
      <c r="B32" s="41" t="s">
        <v>88</v>
      </c>
      <c r="C32" s="38"/>
    </row>
    <row r="33" spans="2:3" x14ac:dyDescent="0.25">
      <c r="B33" s="46" t="s">
        <v>57</v>
      </c>
      <c r="C33" s="45" t="s">
        <v>89</v>
      </c>
    </row>
    <row r="34" spans="2:3" x14ac:dyDescent="0.25">
      <c r="B34" s="46" t="s">
        <v>90</v>
      </c>
      <c r="C34" s="45" t="s">
        <v>91</v>
      </c>
    </row>
    <row r="35" spans="2:3" x14ac:dyDescent="0.25">
      <c r="B35" s="46" t="s">
        <v>92</v>
      </c>
      <c r="C35" s="45" t="s">
        <v>93</v>
      </c>
    </row>
    <row r="36" spans="2:3" x14ac:dyDescent="0.25">
      <c r="B36" s="46" t="s">
        <v>94</v>
      </c>
      <c r="C36" s="45" t="s">
        <v>95</v>
      </c>
    </row>
    <row r="37" spans="2:3" x14ac:dyDescent="0.25">
      <c r="B37" s="46" t="s">
        <v>96</v>
      </c>
      <c r="C37" s="45" t="s">
        <v>97</v>
      </c>
    </row>
    <row r="38" spans="2:3" x14ac:dyDescent="0.25">
      <c r="B38" s="46" t="s">
        <v>98</v>
      </c>
      <c r="C38" s="45" t="s">
        <v>99</v>
      </c>
    </row>
    <row r="39" spans="2:3" x14ac:dyDescent="0.25">
      <c r="B39" s="46" t="s">
        <v>100</v>
      </c>
      <c r="C39" s="45" t="s">
        <v>101</v>
      </c>
    </row>
  </sheetData>
  <pageMargins left="0.7" right="0.7" top="0.75" bottom="0.75" header="0.3" footer="0.3"/>
  <pageSetup paperSize="9" orientation="portrait" r:id="rId1"/>
  <headerFooter>
    <oddFooter>&amp;C&amp;1#&amp;"Calibri"&amp;10&amp;K000000Public : Al-Futtaim Group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36" sqref="C36"/>
    </sheetView>
  </sheetViews>
  <sheetFormatPr defaultRowHeight="15" x14ac:dyDescent="0.25"/>
  <cols>
    <col min="1" max="1" width="11.28515625" bestFit="1" customWidth="1"/>
    <col min="2" max="2" width="26.5703125" bestFit="1" customWidth="1"/>
    <col min="3" max="3" width="33.28515625" bestFit="1" customWidth="1"/>
  </cols>
  <sheetData>
    <row r="1" spans="1:3" x14ac:dyDescent="0.25">
      <c r="A1" s="23" t="s">
        <v>29</v>
      </c>
      <c r="B1" s="23" t="s">
        <v>30</v>
      </c>
      <c r="C1" s="23" t="s">
        <v>35</v>
      </c>
    </row>
    <row r="2" spans="1:3" x14ac:dyDescent="0.25">
      <c r="A2" s="24" t="s">
        <v>34</v>
      </c>
      <c r="B2" s="24" t="s">
        <v>31</v>
      </c>
      <c r="C2" s="24" t="s">
        <v>36</v>
      </c>
    </row>
    <row r="3" spans="1:3" x14ac:dyDescent="0.25">
      <c r="A3" s="24" t="s">
        <v>28</v>
      </c>
      <c r="B3" s="24" t="s">
        <v>32</v>
      </c>
      <c r="C3" s="24" t="s">
        <v>37</v>
      </c>
    </row>
    <row r="4" spans="1:3" x14ac:dyDescent="0.25">
      <c r="A4" s="24"/>
      <c r="B4" s="24" t="s">
        <v>33</v>
      </c>
      <c r="C4" s="24"/>
    </row>
  </sheetData>
  <pageMargins left="0.7" right="0.7" top="0.75" bottom="0.75" header="0.3" footer="0.3"/>
  <pageSetup paperSize="9" orientation="portrait" r:id="rId1"/>
  <headerFooter>
    <oddFooter>&amp;C&amp;1#&amp;"Calibri"&amp;10&amp;K000000Public : Al-Futtaim Group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CBD - 24032026</vt:lpstr>
      <vt:lpstr>AHU SPECIFICATION</vt:lpstr>
      <vt:lpstr>Data Validation</vt:lpstr>
      <vt:lpstr>'CBD - 24032026'!Print_Area</vt:lpstr>
      <vt:lpstr>'CBD - 24032026'!Print_Titles</vt:lpstr>
    </vt:vector>
  </TitlesOfParts>
  <Company>Al Futtaim Group of Companies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Barathy Kannan</dc:creator>
  <cp:lastModifiedBy>Harisha Kasargod</cp:lastModifiedBy>
  <cp:lastPrinted>2025-04-08T06:39:48Z</cp:lastPrinted>
  <dcterms:created xsi:type="dcterms:W3CDTF">2019-03-07T05:25:08Z</dcterms:created>
  <dcterms:modified xsi:type="dcterms:W3CDTF">2026-08-20T06:48:35Z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748dea0-db50-4761-a21d-1605901bc7e3_Enabled">
    <vt:lpwstr>true</vt:lpwstr>
  </property>
  <property fmtid="{D5CDD505-2E9C-101B-9397-08002B2CF9AE}" pid="3" name="MSIP_Label_1748dea0-db50-4761-a21d-1605901bc7e3_SetDate">
    <vt:lpwstr>2024-01-24T13:15:46Z</vt:lpwstr>
  </property>
  <property fmtid="{D5CDD505-2E9C-101B-9397-08002B2CF9AE}" pid="4" name="MSIP_Label_1748dea0-db50-4761-a21d-1605901bc7e3_Method">
    <vt:lpwstr>Privileged</vt:lpwstr>
  </property>
  <property fmtid="{D5CDD505-2E9C-101B-9397-08002B2CF9AE}" pid="5" name="MSIP_Label_1748dea0-db50-4761-a21d-1605901bc7e3_Name">
    <vt:lpwstr>Public</vt:lpwstr>
  </property>
  <property fmtid="{D5CDD505-2E9C-101B-9397-08002B2CF9AE}" pid="6" name="MSIP_Label_1748dea0-db50-4761-a21d-1605901bc7e3_SiteId">
    <vt:lpwstr>79ddd250-40e1-4d41-ba0f-c9e9849725cb</vt:lpwstr>
  </property>
  <property fmtid="{D5CDD505-2E9C-101B-9397-08002B2CF9AE}" pid="7" name="MSIP_Label_1748dea0-db50-4761-a21d-1605901bc7e3_ActionId">
    <vt:lpwstr>bafc36d5-1654-4550-a936-d1eabc1e00d8</vt:lpwstr>
  </property>
  <property fmtid="{D5CDD505-2E9C-101B-9397-08002B2CF9AE}" pid="8" name="MSIP_Label_1748dea0-db50-4761-a21d-1605901bc7e3_ContentBits">
    <vt:lpwstr>2</vt:lpwstr>
  </property>
</Properties>
</file>